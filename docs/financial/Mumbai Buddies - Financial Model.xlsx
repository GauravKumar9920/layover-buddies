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Unit Economics" sheetId="3" state="visible" r:id="rId5"/>
    <sheet name="Operating Costs" sheetId="4" state="visible" r:id="rId6"/>
    <sheet name="5-Year P&amp;L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<sst xmlns="http://schemas.openxmlformats.org/spreadsheetml/2006/main" count="242" uniqueCount="190">
  <si>
    <t xml:space="preserve">Mumbai Buddies — Financial Model</t>
  </si>
  <si>
    <t xml:space="preserve">Operating cost + pricing model. Built May 2026. All amounts INR.</t>
  </si>
  <si>
    <t xml:space="preserve">THE PROBLEM THIS MODEL FIXES</t>
  </si>
  <si>
    <t xml:space="preserve">The locked pricing model nets only ~₹285 per booking — a ~3.5% effective take rate.</t>
  </si>
  <si>
    <t xml:space="preserve">The platform processes the full ~₹6,600 booking through Razorpay (paying ~4% on all of</t>
  </si>
  <si>
    <t xml:space="preserve">it) but takes margin only on the ₹2,200 buddy fee. Payment fees eat ~half of gross</t>
  </si>
  <si>
    <t xml:space="preserve">revenue. The transit-tourism research report flagged this as structurally unprofitable</t>
  </si>
  <si>
    <t xml:space="preserve">at every scale. No marketplace survives at a 3.5% take rate — OTAs run 15–25%.</t>
  </si>
  <si>
    <t xml:space="preserve">THE FIX — "ALL OF THE ABOVE" BLENDED PRICING</t>
  </si>
  <si>
    <t xml:space="preserve">Three levers stacked, each kept moderate so the total price stays competitive:</t>
  </si>
  <si>
    <t xml:space="preserve">  1. Platform margin on the buddy fee (default 12%) — replaces the hidden 12.5/12.5 split</t>
  </si>
  <si>
    <t xml:space="preserve">  2. Platform margin on the itinerary fund (default 8%) — it is no longer pure pass-through</t>
  </si>
  <si>
    <t xml:space="preserve">  3. A visible Service &amp; Safety fee (default 11%) — covers vetted buddies, SOS, insurance,</t>
  </si>
  <si>
    <t xml:space="preserve">     escrow protection, 24/7 support. The kind of fee Airbnb/GetYourGuide show openly.</t>
  </si>
  <si>
    <t xml:space="preserve">Result at default settings: ~₹741 net contribution per booking (2.6x the old model),</t>
  </si>
  <si>
    <t xml:space="preserve">~14% gross take rate, ~₹7,400 traveler total — still inside the competitive ₹6,000–8,500 band.</t>
  </si>
  <si>
    <t xml:space="preserve">HOW TO USE THIS MODEL</t>
  </si>
  <si>
    <t xml:space="preserve">• Assumptions tab — every BLUE cell is a lever you can change. Pricing + volume live here.</t>
  </si>
  <si>
    <t xml:space="preserve">• Unit Economics tab — per-booking breakdown, old model vs new model side by side.</t>
  </si>
  <si>
    <t xml:space="preserve">• Operating Costs tab — two scenarios: Bootstrapped (you keep the day job) vs Funded.</t>
  </si>
  <si>
    <t xml:space="preserve">• 5-Year P&amp;L tab — full P&amp;L for both opex scenarios on the base-case volume.</t>
  </si>
  <si>
    <t xml:space="preserve">• Scenarios tab — Year-5 snapshot under conservative / base / optimistic volume.</t>
  </si>
  <si>
    <t xml:space="preserve">Change any blue cell and every downstream number recalculates.</t>
  </si>
  <si>
    <t xml:space="preserve">COLOR KEY</t>
  </si>
  <si>
    <t xml:space="preserve">Blue = input you can change   |   Black = formula   |   Green = pulled from another tab</t>
  </si>
  <si>
    <t xml:space="preserve">Yellow fill = key assumption worth revisiting</t>
  </si>
  <si>
    <t xml:space="preserve">THE HEADLINE — read this honestly</t>
  </si>
  <si>
    <t xml:space="preserve">The take-rate fix is necessary but NOT sufficient. At the default opex assumptions, the</t>
  </si>
  <si>
    <t xml:space="preserve">bootstrapped scenario turns EBITDA-positive in Year 4; the funded scenario is still</t>
  </si>
  <si>
    <t xml:space="preserve">burning at Year 5. This is a slow-burn business. What actually bridges to profit is opex</t>
  </si>
  <si>
    <t xml:space="preserve">discipline — above all, holding founder/team salary down through Years 2-3. Every opex</t>
  </si>
  <si>
    <t xml:space="preserve">cell is blue and yours to adjust: stay leaner and breakeven moves earlier. At the OLD</t>
  </si>
  <si>
    <t xml:space="preserve">~₹285/booking take rate, neither scenario ever turns positive — so the fix is still the</t>
  </si>
  <si>
    <t xml:space="preserve">unlock, it just is not a magic wand.</t>
  </si>
  <si>
    <t xml:space="preserve">Assumptions — adjust the blue cells</t>
  </si>
  <si>
    <t xml:space="preserve">PRICING LEVERS</t>
  </si>
  <si>
    <t xml:space="preserve">Buddy fee — base (₹)</t>
  </si>
  <si>
    <t xml:space="preserve">What the buddy is quoted before platform margin</t>
  </si>
  <si>
    <t xml:space="preserve">Platform margin on buddy fee</t>
  </si>
  <si>
    <t xml:space="preserve">Lever 1 — replaces the old hidden 12.5/12.5 split</t>
  </si>
  <si>
    <t xml:space="preserve">Itinerary fund — base (₹)</t>
  </si>
  <si>
    <t xml:space="preserve">Agreed day's expenses (food+transport+entries, both people)</t>
  </si>
  <si>
    <t xml:space="preserve">Platform margin on itinerary fund</t>
  </si>
  <si>
    <t xml:space="preserve">Lever 2 — itinerary fund is no longer pure pass-through</t>
  </si>
  <si>
    <t xml:space="preserve">Buffer rate (% of itinerary fund)</t>
  </si>
  <si>
    <t xml:space="preserve">Refundable cushion; no platform margin taken on it</t>
  </si>
  <si>
    <t xml:space="preserve">Service &amp; Safety fee</t>
  </si>
  <si>
    <t xml:space="preserve">Lever 3 — visible fee on (buddy fee + itinerary fund)</t>
  </si>
  <si>
    <t xml:space="preserve">GST rate</t>
  </si>
  <si>
    <t xml:space="preserve">Tour Operator HSN 9985, no ITC</t>
  </si>
  <si>
    <t xml:space="preserve">Deposit per side (₹)</t>
  </si>
  <si>
    <t xml:space="preserve">Refundable; held in escrow, not revenue</t>
  </si>
  <si>
    <t xml:space="preserve">Razorpay blended fee</t>
  </si>
  <si>
    <t xml:space="preserve">Intl card MDR + FX markup on the full collected amount</t>
  </si>
  <si>
    <t xml:space="preserve">TDS rate — Sec 194C</t>
  </si>
  <si>
    <t xml:space="preserve">Withheld from buddy fee payout</t>
  </si>
  <si>
    <t xml:space="preserve">Deposit forfeit rate</t>
  </si>
  <si>
    <t xml:space="preserve">Share of bookings where a deposit is forfeited</t>
  </si>
  <si>
    <t xml:space="preserve">Avg forfeit revenue per forfeit (₹)</t>
  </si>
  <si>
    <t xml:space="preserve">Blended across traveler-deposit + late-fee forfeits</t>
  </si>
  <si>
    <t xml:space="preserve">COGS (% of net revenue)</t>
  </si>
  <si>
    <t xml:space="preserve">Refunds + variable support cost</t>
  </si>
  <si>
    <t xml:space="preserve">Social security levy (% of buddy payout)</t>
  </si>
  <si>
    <t xml:space="preserve">Code on Social Security 2020 aggregator contribution</t>
  </si>
  <si>
    <t xml:space="preserve">BOOKING VOLUME (bookings per year)</t>
  </si>
  <si>
    <t xml:space="preserve">Scenario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</si>
  <si>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</si>
  <si>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</si>
  <si>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</si>
  <si>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</si>
  <si>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</si>
  <si>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Base case</t>
  </si>
  <si>
    <t xml:space="preserve">Conservative</t>
  </si>
  <si>
    <t xml:space="preserve">Optimistic</t>
  </si>
  <si>
    <t xml:space="preserve">Volume path is the founder/analyst estimate from the transit-tourism research report (May 2026).</t>
  </si>
  <si>
    <t xml:space="preserve">Unit Economics — per booking</t>
  </si>
  <si>
    <t xml:space="preserve">Old model (locked)</t>
  </si>
  <si>
    <t xml:space="preserve">New model (blended)</t>
  </si>
  <si>
    <t xml:space="preserve">Notes</t>
  </si>
  <si>
    <t xml:space="preserve">INPUTS</t>
  </si>
  <si>
    <t xml:space="preserve">Same base both models — only the architecture differs</t>
  </si>
  <si>
    <t xml:space="preserve">TRAVELER-FACING CHARGES</t>
  </si>
  <si>
    <t xml:space="preserve">Buddy fee (as shown to traveler)</t>
  </si>
  <si>
    <t xml:space="preserve">Old: hidden +12.5%. New: + platform margin</t>
  </si>
  <si>
    <t xml:space="preserve">Itinerary fund (as shown to traveler)</t>
  </si>
  <si>
    <t xml:space="preserve">Old: pure pass-through. New: + platform margin</t>
  </si>
  <si>
    <t xml:space="preserve">Buffer</t>
  </si>
  <si>
    <t xml:space="preserve">20% of itinerary fund, refundable</t>
  </si>
  <si>
    <t xml:space="preserve">0</t>
  </si>
  <si>
    <t xml:space="preserve">New model only — the visible fee</t>
  </si>
  <si>
    <t xml:space="preserve">Subtotal (pre-GST)</t>
  </si>
  <si>
    <t xml:space="preserve">GST</t>
  </si>
  <si>
    <t xml:space="preserve">Refundable deposit</t>
  </si>
  <si>
    <t xml:space="preserve">Held in escrow; returned after trip</t>
  </si>
  <si>
    <t xml:space="preserve">TRAVELER TOTAL</t>
  </si>
  <si>
    <t xml:space="preserve">What the traveler pays</t>
  </si>
  <si>
    <t xml:space="preserve">PLATFORM REVENUE</t>
  </si>
  <si>
    <t xml:space="preserve">Margin from buddy fee</t>
  </si>
  <si>
    <t xml:space="preserve">Old: 25% of buddy fee. New: platform margin %</t>
  </si>
  <si>
    <t xml:space="preserve">Margin from itinerary fund</t>
  </si>
  <si>
    <t xml:space="preserve">New model only</t>
  </si>
  <si>
    <t xml:space="preserve">Platform gross revenue</t>
  </si>
  <si>
    <t xml:space="preserve">Less: Razorpay fees</t>
  </si>
  <si>
    <t xml:space="preserve">~4% on the full collected amount</t>
  </si>
  <si>
    <t xml:space="preserve">PLATFORM NET CONTRIBUTION</t>
  </si>
  <si>
    <t xml:space="preserve">Per-booking margin to the platform</t>
  </si>
  <si>
    <t xml:space="preserve">BUDDY ECONOMICS</t>
  </si>
  <si>
    <t xml:space="preserve">Buddy fee received (post-fee, post-TDS)</t>
  </si>
  <si>
    <t xml:space="preserve">Old: -12.5%. New: clean fee minus 1% TDS</t>
  </si>
  <si>
    <t xml:space="preserve">Itinerary fund entrusted to buddy</t>
  </si>
  <si>
    <t xml:space="preserve">Spent on the day; not buddy income</t>
  </si>
  <si>
    <t xml:space="preserve">Deposit posted then returned</t>
  </si>
  <si>
    <t xml:space="preserve">KEY METRICS</t>
  </si>
  <si>
    <t xml:space="preserve">GMV per booking (excl. deposit)</t>
  </si>
  <si>
    <t xml:space="preserve">Subtotal + GST</t>
  </si>
  <si>
    <t xml:space="preserve">Effective gross take rate</t>
  </si>
  <si>
    <t xml:space="preserve">Platform gross / traveler total</t>
  </si>
  <si>
    <t xml:space="preserve">Effective net take rate</t>
  </si>
  <si>
    <t xml:space="preserve">Platform net / traveler total</t>
  </si>
  <si>
    <t xml:space="preserve">Net contribution per booking (₹)</t>
  </si>
  <si>
    <t xml:space="preserve">New model improvement vs old</t>
  </si>
  <si>
    <t xml:space="preserve">How much more the platform nets per booking under the new pricing</t>
  </si>
  <si>
    <t xml:space="preserve">Operating Costs — 5-year (₹ Lakh)</t>
  </si>
  <si>
    <t xml:space="preserve">1 Lakh = ₹100,000. Blue cells are inputs; change them to re-plan.</t>
  </si>
  <si>
    <t xml:space="preserve">BOOTSTRAPPED  —  founder keeps the day job, lean organic marketing</t>
  </si>
  <si>
    <t xml:space="preserve">Cost line</t>
  </si>
  <si>
    <t xml:space="preserve">Tech infrastructure</t>
  </si>
  <si>
    <t xml:space="preserve">Supabase, Vercel, Cloudinary, Razorpay infra</t>
  </si>
  <si>
    <t xml:space="preserve">Background verification</t>
  </si>
  <si>
    <t xml:space="preserve">~₹500/buddy check, IDfy/Signzy</t>
  </si>
  <si>
    <t xml:space="preserve">Insurance</t>
  </si>
  <si>
    <t xml:space="preserve">Professional Indemnity + Cyber + Group PA</t>
  </si>
  <si>
    <t xml:space="preserve">Customer support</t>
  </si>
  <si>
    <t xml:space="preserve">Founder does it Y1; FTEs added from Y2</t>
  </si>
  <si>
    <t xml:space="preserve">Marketing / CAC</t>
  </si>
  <si>
    <t xml:space="preserve">Organic-first — VJTI network, content, SEO</t>
  </si>
  <si>
    <t xml:space="preserve">Compliance (CA / ROC / audit / legal)</t>
  </si>
  <si>
    <t xml:space="preserve">CA retainer + annual filings</t>
  </si>
  <si>
    <t xml:space="preserve">Founder / team salaries</t>
  </si>
  <si>
    <t xml:space="preserve">₹0 in Y1 — founder keeps Rekise Marine job</t>
  </si>
  <si>
    <t xml:space="preserve">Misc / one-time</t>
  </si>
  <si>
    <t xml:space="preserve">Incorporation, trademark, contingency</t>
  </si>
  <si>
    <t xml:space="preserve">Aggregator social security levy</t>
  </si>
  <si>
    <t xml:space="preserve">1.5% of buddy-fee payouts — Code on Social Security 2020</t>
  </si>
  <si>
    <t xml:space="preserve">TOTAL — Bootstrapped</t>
  </si>
  <si>
    <t xml:space="preserve">FUNDED  —  full salaries, paid marketing burn (the research report's model)</t>
  </si>
  <si>
    <t xml:space="preserve">1 FTE Y1 → 4 FTE Y5</t>
  </si>
  <si>
    <t xml:space="preserve">Burn-pricing to buy growth</t>
  </si>
  <si>
    <t xml:space="preserve">Market-rate from Y1</t>
  </si>
  <si>
    <t xml:space="preserve">TOTAL — Funded</t>
  </si>
  <si>
    <t xml:space="preserve">5-Year P&amp;L — base-case volume (₹ Lakh)</t>
  </si>
  <si>
    <t xml:space="preserve">Per-booking economics from the New model. Change levers on Assumptions / Operating Costs.</t>
  </si>
  <si>
    <t xml:space="preserve">BOOTSTRAPPED SCENARIO</t>
  </si>
  <si>
    <t xml:space="preserve">Line</t>
  </si>
  <si>
    <t xml:space="preserve">Bookings (#)</t>
  </si>
  <si>
    <t xml:space="preserve">GMV (₹ Lakh)</t>
  </si>
  <si>
    <t xml:space="preserve">Platform net contribution (₹ Lakh)</t>
  </si>
  <si>
    <t xml:space="preserve">Deposit-forfeit revenue (₹ Lakh)</t>
  </si>
  <si>
    <t xml:space="preserve">Net revenue (₹ Lakh)</t>
  </si>
  <si>
    <t xml:space="preserve">Less: COGS (refunds / variable support)</t>
  </si>
  <si>
    <t xml:space="preserve">Gross margin (₹ Lakh)</t>
  </si>
  <si>
    <t xml:space="preserve">Less: Operating costs (₹ Lakh)</t>
  </si>
  <si>
    <t xml:space="preserve">EBITDA (₹ Lakh)</t>
  </si>
  <si>
    <t xml:space="preserve">EBITDA margin (% of GMV)</t>
  </si>
  <si>
    <t xml:space="preserve">Cumulative EBITDA (₹ Lakh)</t>
  </si>
  <si>
    <t xml:space="preserve">FUNDED SCENARIO</t>
  </si>
  <si>
    <t xml:space="preserve">Read: at the default opex, bootstrapped turns EBITDA-positive in Year 4; funded is still burning at Year 5.</t>
  </si>
  <si>
    <t xml:space="preserve">Hold founder/team salary down longer and breakeven moves earlier. At the old ~₹285/booking, neither ever turns positive.</t>
  </si>
  <si>
    <t xml:space="preserve">Scenario summary — Year 5 (₹ Lakh, bootstrapped opex)</t>
  </si>
  <si>
    <t xml:space="preserve">Volume paths from Assumptions. Year-5 economics under the bootstrapped cost base.</t>
  </si>
  <si>
    <t xml:space="preserve">YEAR-5 OUTCOMES BY VOLUME SCENARIO</t>
  </si>
  <si>
    <t xml:space="preserve">Metric</t>
  </si>
  <si>
    <t xml:space="preserve">Base</t>
  </si>
  <si>
    <t xml:space="preserve">Year-5 bookings (#)</t>
  </si>
  <si>
    <t xml:space="preserve">1% / 5% / 10% of Year-5 SAM per the research report</t>
  </si>
  <si>
    <t xml:space="preserve">Year-5 GMV (₹ Lakh)</t>
  </si>
  <si>
    <t xml:space="preserve">Bookings x GMV/booking</t>
  </si>
  <si>
    <t xml:space="preserve">Year-5 net revenue (₹ Lakh)</t>
  </si>
  <si>
    <t xml:space="preserve">Platform contribution + deposit-forfeit revenue</t>
  </si>
  <si>
    <t xml:space="preserve">Year-5 gross margin (₹ Lakh)</t>
  </si>
  <si>
    <t xml:space="preserve">Year-5 operating costs (₹ Lakh)</t>
  </si>
  <si>
    <t xml:space="preserve">Bootstrapped Year-5 total (same cost base across scenarios)</t>
  </si>
  <si>
    <t xml:space="preserve">Year-5 EBITDA (₹ Lakh)</t>
  </si>
  <si>
    <t xml:space="preserve">Year-5 EBITDA margin (% of GMV)</t>
  </si>
  <si>
    <t xml:space="preserve">WHAT THIS TELLS YOU</t>
  </si>
  <si>
    <t xml:space="preserve">Conservative — a real side business. Covers costs, modest surplus, no need to raise.</t>
  </si>
  <si>
    <t xml:space="preserve">Base — a fundable small business. Year-5 EBITDA positive on the bootstrapped cost base.</t>
  </si>
  <si>
    <t xml:space="preserve">Optimistic — acquisition-attractive. The research report flags Adani / MakeMyTrip / Klook as buyers.</t>
  </si>
  <si>
    <t xml:space="preserve">The single biggest lever is the take rate, not the volume. Fixing pricing moves every column.</t>
  </si>
  <si>
    <t xml:space="preserve">Second biggest is founder salary timing — staying lean through Year 2 is what bridges to profit.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</si>
</sst>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%"/>
    <numFmt numFmtId="167" formatCode="#,##0"/>
    <numFmt numFmtId="168" formatCode="\₹#,##0.00"/>
    <numFmt numFmtId="169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Calibri"/>
      <family val="2"/>
      <charset val="1"/>
    </font>
    <font>
      <b val="true"/>
      <sz val="10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3CD"/>
        <bgColor rgb="FFF1EFE8"/>
      </patternFill>
    </fill>
    <fill>
      <patternFill patternType="solid">
        <fgColor rgb="FFF1EFE8"/>
        <bgColor rgb="FFE1F0E5"/>
      </patternFill>
    </fill>
    <fill>
      <patternFill patternType="solid">
        <fgColor rgb="FFE1F0E5"/>
        <bgColor rgb="FFF1EF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5" t="s">
        <v>3</v>
      </c>
    </row>
    <row r="8" customFormat="false" ht="15" hidden="false" customHeight="false" outlineLevel="0" collapsed="false">
      <c r="B8" s="5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5" t="s">
        <v>17</v>
      </c>
    </row>
    <row r="24" customFormat="false" ht="15" hidden="false" customHeight="false" outlineLevel="0" collapsed="false">
      <c r="B24" s="5" t="s">
        <v>18</v>
      </c>
    </row>
    <row r="25" customFormat="false" ht="15" hidden="false" customHeight="false" outlineLevel="0" collapsed="false">
      <c r="B25" s="5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2" t="s">
        <v>22</v>
      </c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4" t="s">
        <v>23</v>
      </c>
    </row>
    <row r="31" customFormat="false" ht="15" hidden="false" customHeight="false" outlineLevel="0" collapsed="false">
      <c r="B31" s="2" t="s">
        <v>24</v>
      </c>
    </row>
    <row r="32" customFormat="false" ht="15" hidden="false" customHeight="false" outlineLevel="0" collapsed="false">
      <c r="B32" s="2" t="s">
        <v>25</v>
      </c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4" t="s">
        <v>26</v>
      </c>
    </row>
    <row r="35" customFormat="false" ht="15" hidden="false" customHeight="false" outlineLevel="0" collapsed="false">
      <c r="B35" s="5" t="s">
        <v>27</v>
      </c>
    </row>
    <row r="36" customFormat="false" ht="15" hidden="false" customHeight="false" outlineLevel="0" collapsed="false">
      <c r="B36" s="5" t="s">
        <v>28</v>
      </c>
    </row>
    <row r="37" customFormat="false" ht="15" hidden="false" customHeight="false" outlineLevel="0" collapsed="false">
      <c r="B37" s="5" t="s">
        <v>29</v>
      </c>
    </row>
    <row r="38" customFormat="false" ht="15" hidden="false" customHeight="false" outlineLevel="0" collapsed="false">
      <c r="B38" s="5" t="s">
        <v>30</v>
      </c>
    </row>
    <row r="39" customFormat="false" ht="15" hidden="false" customHeight="false" outlineLevel="0" collapsed="false">
      <c r="B39" s="5" t="s">
        <v>31</v>
      </c>
    </row>
    <row r="40" customFormat="false" ht="15" hidden="false" customHeight="false" outlineLevel="0" collapsed="false">
      <c r="B40" s="5" t="s">
        <v>32</v>
      </c>
    </row>
    <row r="41" customFormat="false" ht="15" hidden="false" customHeight="false" outlineLevel="0" collapsed="false">
      <c r="B41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34</v>
      </c>
    </row>
    <row r="3" customFormat="false" ht="15" hidden="false" customHeight="false" outlineLevel="0" collapsed="false">
      <c r="A3" s="6" t="s">
        <v>35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5" t="s">
        <v>36</v>
      </c>
      <c r="B4" s="7" t="n">
        <v>2200</v>
      </c>
      <c r="G4" s="2" t="s">
        <v>37</v>
      </c>
    </row>
    <row r="5" customFormat="false" ht="15" hidden="false" customHeight="false" outlineLevel="0" collapsed="false">
      <c r="A5" s="5" t="s">
        <v>38</v>
      </c>
      <c r="B5" s="8" t="n">
        <v>0.12</v>
      </c>
      <c r="G5" s="2" t="s">
        <v>39</v>
      </c>
    </row>
    <row r="6" customFormat="false" ht="15" hidden="false" customHeight="false" outlineLevel="0" collapsed="false">
      <c r="A6" s="5" t="s">
        <v>40</v>
      </c>
      <c r="B6" s="7" t="n">
        <v>2800</v>
      </c>
      <c r="G6" s="2" t="s">
        <v>41</v>
      </c>
    </row>
    <row r="7" customFormat="false" ht="15" hidden="false" customHeight="false" outlineLevel="0" collapsed="false">
      <c r="A7" s="5" t="s">
        <v>42</v>
      </c>
      <c r="B7" s="8" t="n">
        <v>0.08</v>
      </c>
      <c r="G7" s="2" t="s">
        <v>43</v>
      </c>
    </row>
    <row r="8" customFormat="false" ht="15" hidden="false" customHeight="false" outlineLevel="0" collapsed="false">
      <c r="A8" s="5" t="s">
        <v>44</v>
      </c>
      <c r="B8" s="8" t="n">
        <v>0.2</v>
      </c>
      <c r="G8" s="2" t="s">
        <v>45</v>
      </c>
    </row>
    <row r="9" customFormat="false" ht="15" hidden="false" customHeight="false" outlineLevel="0" collapsed="false">
      <c r="A9" s="5" t="s">
        <v>46</v>
      </c>
      <c r="B9" s="8" t="n">
        <v>0.11</v>
      </c>
      <c r="G9" s="2" t="s">
        <v>47</v>
      </c>
    </row>
    <row r="10" customFormat="false" ht="15" hidden="false" customHeight="false" outlineLevel="0" collapsed="false">
      <c r="A10" s="5" t="s">
        <v>48</v>
      </c>
      <c r="B10" s="8" t="n">
        <v>0.05</v>
      </c>
      <c r="G10" s="2" t="s">
        <v>49</v>
      </c>
    </row>
    <row r="11" customFormat="false" ht="15" hidden="false" customHeight="false" outlineLevel="0" collapsed="false">
      <c r="A11" s="5" t="s">
        <v>50</v>
      </c>
      <c r="B11" s="7" t="n">
        <v>500</v>
      </c>
      <c r="G11" s="2" t="s">
        <v>51</v>
      </c>
    </row>
    <row r="12" customFormat="false" ht="15" hidden="false" customHeight="false" outlineLevel="0" collapsed="false">
      <c r="A12" s="5" t="s">
        <v>52</v>
      </c>
      <c r="B12" s="8" t="n">
        <v>0.04</v>
      </c>
      <c r="G12" s="2" t="s">
        <v>53</v>
      </c>
    </row>
    <row r="13" customFormat="false" ht="15" hidden="false" customHeight="false" outlineLevel="0" collapsed="false">
      <c r="A13" s="5" t="s">
        <v>54</v>
      </c>
      <c r="B13" s="8" t="n">
        <v>0.01</v>
      </c>
      <c r="G13" s="2" t="s">
        <v>55</v>
      </c>
    </row>
    <row r="14" customFormat="false" ht="15" hidden="false" customHeight="false" outlineLevel="0" collapsed="false">
      <c r="A14" s="5" t="s">
        <v>56</v>
      </c>
      <c r="B14" s="8" t="n">
        <v>0.07</v>
      </c>
      <c r="G14" s="2" t="s">
        <v>57</v>
      </c>
    </row>
    <row r="15" customFormat="false" ht="15" hidden="false" customHeight="false" outlineLevel="0" collapsed="false">
      <c r="A15" s="5" t="s">
        <v>58</v>
      </c>
      <c r="B15" s="7" t="n">
        <v>750</v>
      </c>
      <c r="G15" s="2" t="s">
        <v>59</v>
      </c>
    </row>
    <row r="16" customFormat="false" ht="15" hidden="false" customHeight="false" outlineLevel="0" collapsed="false">
      <c r="A16" s="5" t="s">
        <v>60</v>
      </c>
      <c r="B16" s="8" t="n">
        <v>0.2</v>
      </c>
      <c r="G16" s="2" t="s">
        <v>61</v>
      </c>
    </row>
    <row r="17" customFormat="false" ht="15" hidden="false" customHeight="false" outlineLevel="0" collapsed="false">
      <c r="A17" s="5" t="s">
        <v>62</v>
      </c>
      <c r="B17" s="8" t="n">
        <v>0.015</v>
      </c>
      <c r="G17" s="2" t="s">
        <v>63</v>
      </c>
    </row>
    <row r="19" customFormat="false" ht="15" hidden="false" customHeight="false" outlineLevel="0" collapsed="false">
      <c r="A19" s="6" t="s">
        <v>64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4" t="s">
        <v>65</v>
      </c>
      <c r="B20" s="9" t="s">
        <v>66</v>
      </c>
      <c r="C20" s="9" t="s">
        <v>67</v>
      </c>
      <c r="D20" s="9" t="s">
        <v>68</v>
      </c>
      <c r="E20" s="9" t="s">
        <v>69</v>
      </c>
      <c r="F20" s="9" t="s">
        <v>70</v>
      </c>
    </row>
    <row r="21" customFormat="false" ht="15" hidden="false" customHeight="false" outlineLevel="0" collapsed="false">
      <c r="A21" s="5" t="s">
        <v>71</v>
      </c>
      <c r="B21" s="10" t="n">
        <v>1000</v>
      </c>
      <c r="C21" s="10" t="n">
        <v>4500</v>
      </c>
      <c r="D21" s="10" t="n">
        <v>12000</v>
      </c>
      <c r="E21" s="10" t="n">
        <v>30000</v>
      </c>
      <c r="F21" s="10" t="n">
        <v>54000</v>
      </c>
    </row>
    <row r="22" customFormat="false" ht="15" hidden="false" customHeight="false" outlineLevel="0" collapsed="false">
      <c r="A22" s="5" t="s">
        <v>72</v>
      </c>
      <c r="B22" s="10" t="n">
        <v>300</v>
      </c>
      <c r="C22" s="10" t="n">
        <v>1200</v>
      </c>
      <c r="D22" s="10" t="n">
        <v>3000</v>
      </c>
      <c r="E22" s="10" t="n">
        <v>6500</v>
      </c>
      <c r="F22" s="10" t="n">
        <v>10800</v>
      </c>
    </row>
    <row r="23" customFormat="false" ht="15" hidden="false" customHeight="false" outlineLevel="0" collapsed="false">
      <c r="A23" s="5" t="s">
        <v>73</v>
      </c>
      <c r="B23" s="10" t="n">
        <v>2000</v>
      </c>
      <c r="C23" s="10" t="n">
        <v>9000</v>
      </c>
      <c r="D23" s="10" t="n">
        <v>25000</v>
      </c>
      <c r="E23" s="10" t="n">
        <v>60000</v>
      </c>
      <c r="F23" s="10" t="n">
        <v>108000</v>
      </c>
    </row>
    <row r="25" customFormat="false" ht="15" hidden="false" customHeight="false" outlineLevel="0" collapsed="false">
      <c r="A25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5"/>
      <c r="B3" s="11" t="s">
        <v>76</v>
      </c>
      <c r="C3" s="11" t="s">
        <v>77</v>
      </c>
      <c r="D3" s="4" t="s">
        <v>78</v>
      </c>
    </row>
    <row r="5" customFormat="false" ht="15" hidden="false" customHeight="false" outlineLevel="0" collapsed="false">
      <c r="A5" s="6" t="s">
        <v>79</v>
      </c>
      <c r="B5" s="6"/>
      <c r="C5" s="6"/>
      <c r="D5" s="6"/>
    </row>
    <row r="6" customFormat="false" ht="15" hidden="false" customHeight="false" outlineLevel="0" collapsed="false">
      <c r="A6" s="5" t="s">
        <v>36</v>
      </c>
      <c r="B6" s="12" t="n">
        <f aca="false">Assumptions!B4</f>
        <v>2200</v>
      </c>
      <c r="C6" s="12" t="n">
        <f aca="false">Assumptions!B4</f>
        <v>2200</v>
      </c>
      <c r="D6" s="2" t="s">
        <v>80</v>
      </c>
    </row>
    <row r="7" customFormat="false" ht="15" hidden="false" customHeight="false" outlineLevel="0" collapsed="false">
      <c r="A7" s="5" t="s">
        <v>40</v>
      </c>
      <c r="B7" s="12" t="n">
        <f aca="false">Assumptions!B6</f>
        <v>2800</v>
      </c>
      <c r="C7" s="12" t="n">
        <f aca="false">Assumptions!B6</f>
        <v>2800</v>
      </c>
    </row>
    <row r="9" customFormat="false" ht="15" hidden="false" customHeight="false" outlineLevel="0" collapsed="false">
      <c r="A9" s="6" t="s">
        <v>81</v>
      </c>
      <c r="B9" s="6"/>
      <c r="C9" s="6"/>
      <c r="D9" s="6"/>
    </row>
    <row r="10" customFormat="false" ht="15" hidden="false" customHeight="false" outlineLevel="0" collapsed="false">
      <c r="A10" s="5" t="s">
        <v>82</v>
      </c>
      <c r="B10" s="13" t="n">
        <f aca="false">B6*1.125</f>
        <v>2475</v>
      </c>
      <c r="C10" s="13" t="n">
        <f aca="false">C6*(1+Assumptions!B5)</f>
        <v>2464</v>
      </c>
      <c r="D10" s="2" t="s">
        <v>83</v>
      </c>
    </row>
    <row r="11" customFormat="false" ht="15" hidden="false" customHeight="false" outlineLevel="0" collapsed="false">
      <c r="A11" s="5" t="s">
        <v>84</v>
      </c>
      <c r="B11" s="13" t="n">
        <f aca="false">B7</f>
        <v>2800</v>
      </c>
      <c r="C11" s="13" t="n">
        <f aca="false">C7*(1+Assumptions!B7)</f>
        <v>3024</v>
      </c>
      <c r="D11" s="2" t="s">
        <v>85</v>
      </c>
    </row>
    <row r="12" customFormat="false" ht="15" hidden="false" customHeight="false" outlineLevel="0" collapsed="false">
      <c r="A12" s="5" t="s">
        <v>86</v>
      </c>
      <c r="B12" s="13" t="n">
        <f aca="false">B7*Assumptions!B8</f>
        <v>560</v>
      </c>
      <c r="C12" s="13" t="n">
        <f aca="false">C7*Assumptions!B8</f>
        <v>560</v>
      </c>
      <c r="D12" s="2" t="s">
        <v>87</v>
      </c>
    </row>
    <row r="13" customFormat="false" ht="15" hidden="false" customHeight="false" outlineLevel="0" collapsed="false">
      <c r="A13" s="5" t="s">
        <v>46</v>
      </c>
      <c r="B13" s="13" t="s">
        <v>88</v>
      </c>
      <c r="C13" s="13" t="n">
        <f aca="false">(C6+C7)*Assumptions!B9</f>
        <v>550</v>
      </c>
      <c r="D13" s="2" t="s">
        <v>89</v>
      </c>
    </row>
    <row r="14" customFormat="false" ht="15" hidden="false" customHeight="false" outlineLevel="0" collapsed="false">
      <c r="A14" s="14" t="s">
        <v>90</v>
      </c>
      <c r="B14" s="15" t="n">
        <f aca="false">SUM(B10:B13)</f>
        <v>5835</v>
      </c>
      <c r="C14" s="15" t="n">
        <f aca="false">SUM(C10:C13)</f>
        <v>6598</v>
      </c>
    </row>
    <row r="15" customFormat="false" ht="15" hidden="false" customHeight="false" outlineLevel="0" collapsed="false">
      <c r="A15" s="5" t="s">
        <v>91</v>
      </c>
      <c r="B15" s="13" t="n">
        <f aca="false">B14*Assumptions!B10</f>
        <v>291.75</v>
      </c>
      <c r="C15" s="13" t="n">
        <f aca="false">C14*Assumptions!B10</f>
        <v>329.9</v>
      </c>
    </row>
    <row r="16" customFormat="false" ht="15" hidden="false" customHeight="false" outlineLevel="0" collapsed="false">
      <c r="A16" s="5" t="s">
        <v>92</v>
      </c>
      <c r="B16" s="12" t="n">
        <f aca="false">Assumptions!B11</f>
        <v>500</v>
      </c>
      <c r="C16" s="12" t="n">
        <f aca="false">Assumptions!B11</f>
        <v>500</v>
      </c>
      <c r="D16" s="2" t="s">
        <v>93</v>
      </c>
    </row>
    <row r="17" customFormat="false" ht="15" hidden="false" customHeight="false" outlineLevel="0" collapsed="false">
      <c r="A17" s="14" t="s">
        <v>94</v>
      </c>
      <c r="B17" s="15" t="n">
        <f aca="false">B14+B15+B16</f>
        <v>6626.75</v>
      </c>
      <c r="C17" s="15" t="n">
        <f aca="false">C14+C15+C16</f>
        <v>7427.9</v>
      </c>
      <c r="D17" s="2" t="s">
        <v>95</v>
      </c>
    </row>
    <row r="19" customFormat="false" ht="15" hidden="false" customHeight="false" outlineLevel="0" collapsed="false">
      <c r="A19" s="6" t="s">
        <v>96</v>
      </c>
      <c r="B19" s="6"/>
      <c r="C19" s="6"/>
      <c r="D19" s="6"/>
    </row>
    <row r="20" customFormat="false" ht="15" hidden="false" customHeight="false" outlineLevel="0" collapsed="false">
      <c r="A20" s="5" t="s">
        <v>97</v>
      </c>
      <c r="B20" s="13" t="n">
        <f aca="false">B6*0.25</f>
        <v>550</v>
      </c>
      <c r="C20" s="13" t="n">
        <f aca="false">C6*Assumptions!B5</f>
        <v>264</v>
      </c>
      <c r="D20" s="2" t="s">
        <v>98</v>
      </c>
    </row>
    <row r="21" customFormat="false" ht="15" hidden="false" customHeight="false" outlineLevel="0" collapsed="false">
      <c r="A21" s="5" t="s">
        <v>99</v>
      </c>
      <c r="B21" s="13" t="s">
        <v>88</v>
      </c>
      <c r="C21" s="13" t="n">
        <f aca="false">C7*Assumptions!B7</f>
        <v>224</v>
      </c>
      <c r="D21" s="2" t="s">
        <v>100</v>
      </c>
    </row>
    <row r="22" customFormat="false" ht="15" hidden="false" customHeight="false" outlineLevel="0" collapsed="false">
      <c r="A22" s="5" t="s">
        <v>46</v>
      </c>
      <c r="B22" s="13" t="s">
        <v>88</v>
      </c>
      <c r="C22" s="13" t="n">
        <f aca="false">C13</f>
        <v>550</v>
      </c>
      <c r="D22" s="2" t="s">
        <v>100</v>
      </c>
    </row>
    <row r="23" customFormat="false" ht="15" hidden="false" customHeight="false" outlineLevel="0" collapsed="false">
      <c r="A23" s="14" t="s">
        <v>101</v>
      </c>
      <c r="B23" s="15" t="n">
        <f aca="false">SUM(B20:B22)</f>
        <v>550</v>
      </c>
      <c r="C23" s="15" t="n">
        <f aca="false">SUM(C20:C22)</f>
        <v>1038</v>
      </c>
    </row>
    <row r="24" customFormat="false" ht="15" hidden="false" customHeight="false" outlineLevel="0" collapsed="false">
      <c r="A24" s="5" t="s">
        <v>102</v>
      </c>
      <c r="B24" s="13" t="n">
        <f aca="false">-B17*Assumptions!B12</f>
        <v>-265.07</v>
      </c>
      <c r="C24" s="13" t="n">
        <f aca="false">-C17*Assumptions!B12</f>
        <v>-297.116</v>
      </c>
      <c r="D24" s="2" t="s">
        <v>103</v>
      </c>
    </row>
    <row r="25" customFormat="false" ht="15" hidden="false" customHeight="false" outlineLevel="0" collapsed="false">
      <c r="A25" s="14" t="s">
        <v>104</v>
      </c>
      <c r="B25" s="16" t="n">
        <f aca="false">B23+B24</f>
        <v>284.93</v>
      </c>
      <c r="C25" s="16" t="n">
        <f aca="false">C23+C24</f>
        <v>740.884</v>
      </c>
      <c r="D25" s="2" t="s">
        <v>105</v>
      </c>
    </row>
    <row r="27" customFormat="false" ht="15" hidden="false" customHeight="false" outlineLevel="0" collapsed="false">
      <c r="A27" s="6" t="s">
        <v>106</v>
      </c>
      <c r="B27" s="6"/>
      <c r="C27" s="6"/>
      <c r="D27" s="6"/>
    </row>
    <row r="28" customFormat="false" ht="15" hidden="false" customHeight="false" outlineLevel="0" collapsed="false">
      <c r="A28" s="5" t="s">
        <v>107</v>
      </c>
      <c r="B28" s="13" t="n">
        <f aca="false">B6*0.875</f>
        <v>1925</v>
      </c>
      <c r="C28" s="13" t="n">
        <f aca="false">C6*(1-Assumptions!B13)</f>
        <v>2178</v>
      </c>
      <c r="D28" s="2" t="s">
        <v>108</v>
      </c>
    </row>
    <row r="29" customFormat="false" ht="15" hidden="false" customHeight="false" outlineLevel="0" collapsed="false">
      <c r="A29" s="5" t="s">
        <v>109</v>
      </c>
      <c r="B29" s="13" t="n">
        <f aca="false">B7</f>
        <v>2800</v>
      </c>
      <c r="C29" s="13" t="n">
        <f aca="false">C7</f>
        <v>2800</v>
      </c>
      <c r="D29" s="2" t="s">
        <v>110</v>
      </c>
    </row>
    <row r="30" customFormat="false" ht="15" hidden="false" customHeight="false" outlineLevel="0" collapsed="false">
      <c r="A30" s="5" t="s">
        <v>111</v>
      </c>
      <c r="B30" s="12" t="n">
        <f aca="false">Assumptions!B11</f>
        <v>500</v>
      </c>
      <c r="C30" s="12" t="n">
        <f aca="false">Assumptions!B11</f>
        <v>500</v>
      </c>
    </row>
    <row r="32" customFormat="false" ht="15" hidden="false" customHeight="false" outlineLevel="0" collapsed="false">
      <c r="A32" s="6" t="s">
        <v>112</v>
      </c>
      <c r="B32" s="6"/>
      <c r="C32" s="6"/>
      <c r="D32" s="6"/>
    </row>
    <row r="33" customFormat="false" ht="15" hidden="false" customHeight="false" outlineLevel="0" collapsed="false">
      <c r="A33" s="14" t="s">
        <v>113</v>
      </c>
      <c r="B33" s="17" t="n">
        <f aca="false">B14+B15</f>
        <v>6126.75</v>
      </c>
      <c r="C33" s="17" t="n">
        <f aca="false">C14+C15</f>
        <v>6927.9</v>
      </c>
      <c r="D33" s="2" t="s">
        <v>114</v>
      </c>
    </row>
    <row r="34" customFormat="false" ht="15" hidden="false" customHeight="false" outlineLevel="0" collapsed="false">
      <c r="A34" s="14" t="s">
        <v>115</v>
      </c>
      <c r="B34" s="18" t="n">
        <f aca="false">B23/B17</f>
        <v>0.082996944203418</v>
      </c>
      <c r="C34" s="18" t="n">
        <f aca="false">C23/C17</f>
        <v>0.13974339988422</v>
      </c>
      <c r="D34" s="2" t="s">
        <v>116</v>
      </c>
    </row>
    <row r="35" customFormat="false" ht="15" hidden="false" customHeight="false" outlineLevel="0" collapsed="false">
      <c r="A35" s="14" t="s">
        <v>117</v>
      </c>
      <c r="B35" s="18" t="n">
        <f aca="false">B25/B17</f>
        <v>0.042996944203418</v>
      </c>
      <c r="C35" s="18" t="n">
        <f aca="false">C25/C17</f>
        <v>0.0997433998842203</v>
      </c>
      <c r="D35" s="2" t="s">
        <v>118</v>
      </c>
    </row>
    <row r="36" customFormat="false" ht="15" hidden="false" customHeight="false" outlineLevel="0" collapsed="false">
      <c r="A36" s="14" t="s">
        <v>119</v>
      </c>
      <c r="B36" s="17" t="n">
        <f aca="false">B25</f>
        <v>284.93</v>
      </c>
      <c r="C36" s="17" t="n">
        <f aca="false">C25</f>
        <v>740.884</v>
      </c>
    </row>
    <row r="37" customFormat="false" ht="15" hidden="false" customHeight="false" outlineLevel="0" collapsed="false">
      <c r="A37" s="14" t="s">
        <v>120</v>
      </c>
      <c r="C37" s="19" t="n">
        <f aca="false">C25/B25-1</f>
        <v>1.60023163584038</v>
      </c>
      <c r="D37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6" t="s">
        <v>124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4" t="s">
        <v>125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</row>
    <row r="6" customFormat="false" ht="15" hidden="false" customHeight="false" outlineLevel="0" collapsed="false">
      <c r="A6" s="5" t="s">
        <v>126</v>
      </c>
      <c r="B6" s="20" t="n">
        <v>2.4</v>
      </c>
      <c r="C6" s="20" t="n">
        <v>4.8</v>
      </c>
      <c r="D6" s="20" t="n">
        <v>8.4</v>
      </c>
      <c r="E6" s="20" t="n">
        <v>14.4</v>
      </c>
      <c r="F6" s="20" t="n">
        <v>24</v>
      </c>
      <c r="G6" s="2" t="s">
        <v>127</v>
      </c>
    </row>
    <row r="7" customFormat="false" ht="15" hidden="false" customHeight="false" outlineLevel="0" collapsed="false">
      <c r="A7" s="5" t="s">
        <v>128</v>
      </c>
      <c r="B7" s="20" t="n">
        <v>1.3</v>
      </c>
      <c r="C7" s="20" t="n">
        <v>3</v>
      </c>
      <c r="D7" s="20" t="n">
        <v>6</v>
      </c>
      <c r="E7" s="20" t="n">
        <v>12</v>
      </c>
      <c r="F7" s="20" t="n">
        <v>20</v>
      </c>
      <c r="G7" s="2" t="s">
        <v>129</v>
      </c>
    </row>
    <row r="8" customFormat="false" ht="15" hidden="false" customHeight="false" outlineLevel="0" collapsed="false">
      <c r="A8" s="5" t="s">
        <v>130</v>
      </c>
      <c r="B8" s="20" t="n">
        <v>1.2</v>
      </c>
      <c r="C8" s="20" t="n">
        <v>1.7</v>
      </c>
      <c r="D8" s="20" t="n">
        <v>2.8</v>
      </c>
      <c r="E8" s="20" t="n">
        <v>5.5</v>
      </c>
      <c r="F8" s="20" t="n">
        <v>9.1</v>
      </c>
      <c r="G8" s="2" t="s">
        <v>131</v>
      </c>
    </row>
    <row r="9" customFormat="false" ht="15" hidden="false" customHeight="false" outlineLevel="0" collapsed="false">
      <c r="A9" s="5" t="s">
        <v>132</v>
      </c>
      <c r="B9" s="20" t="n">
        <v>0</v>
      </c>
      <c r="C9" s="20" t="n">
        <v>6</v>
      </c>
      <c r="D9" s="20" t="n">
        <v>14.4</v>
      </c>
      <c r="E9" s="20" t="n">
        <v>19.2</v>
      </c>
      <c r="F9" s="20" t="n">
        <v>24</v>
      </c>
      <c r="G9" s="2" t="s">
        <v>133</v>
      </c>
    </row>
    <row r="10" customFormat="false" ht="15" hidden="false" customHeight="false" outlineLevel="0" collapsed="false">
      <c r="A10" s="5" t="s">
        <v>134</v>
      </c>
      <c r="B10" s="20" t="n">
        <v>4</v>
      </c>
      <c r="C10" s="20" t="n">
        <v>12</v>
      </c>
      <c r="D10" s="20" t="n">
        <v>24</v>
      </c>
      <c r="E10" s="20" t="n">
        <v>40</v>
      </c>
      <c r="F10" s="20" t="n">
        <v>60</v>
      </c>
      <c r="G10" s="2" t="s">
        <v>135</v>
      </c>
    </row>
    <row r="11" customFormat="false" ht="15" hidden="false" customHeight="false" outlineLevel="0" collapsed="false">
      <c r="A11" s="5" t="s">
        <v>136</v>
      </c>
      <c r="B11" s="20" t="n">
        <v>3</v>
      </c>
      <c r="C11" s="20" t="n">
        <v>4.5</v>
      </c>
      <c r="D11" s="20" t="n">
        <v>6</v>
      </c>
      <c r="E11" s="20" t="n">
        <v>8</v>
      </c>
      <c r="F11" s="20" t="n">
        <v>10</v>
      </c>
      <c r="G11" s="2" t="s">
        <v>137</v>
      </c>
    </row>
    <row r="12" customFormat="false" ht="15" hidden="false" customHeight="false" outlineLevel="0" collapsed="false">
      <c r="A12" s="5" t="s">
        <v>138</v>
      </c>
      <c r="B12" s="20" t="n">
        <v>0</v>
      </c>
      <c r="C12" s="20" t="n">
        <v>12</v>
      </c>
      <c r="D12" s="20" t="n">
        <v>36</v>
      </c>
      <c r="E12" s="20" t="n">
        <v>72</v>
      </c>
      <c r="F12" s="20" t="n">
        <v>120</v>
      </c>
      <c r="G12" s="2" t="s">
        <v>139</v>
      </c>
    </row>
    <row r="13" customFormat="false" ht="15" hidden="false" customHeight="false" outlineLevel="0" collapsed="false">
      <c r="A13" s="5" t="s">
        <v>140</v>
      </c>
      <c r="B13" s="20" t="n">
        <v>2</v>
      </c>
      <c r="C13" s="20" t="n">
        <v>3</v>
      </c>
      <c r="D13" s="20" t="n">
        <v>4</v>
      </c>
      <c r="E13" s="20" t="n">
        <v>6</v>
      </c>
      <c r="F13" s="20" t="n">
        <v>8</v>
      </c>
      <c r="G13" s="2" t="s">
        <v>141</v>
      </c>
    </row>
    <row r="14" customFormat="false" ht="15" hidden="false" customHeight="false" outlineLevel="0" collapsed="false">
      <c r="A14" s="5" t="s">
        <v>142</v>
      </c>
      <c r="B14" s="21" t="n">
        <f aca="false">Assumptions!B21*Assumptions!B4*Assumptions!B17/100000</f>
        <v>0.33</v>
      </c>
      <c r="C14" s="21" t="n">
        <f aca="false">Assumptions!C21*Assumptions!B4*Assumptions!B17/100000</f>
        <v>1.485</v>
      </c>
      <c r="D14" s="21" t="n">
        <f aca="false">Assumptions!D21*Assumptions!B4*Assumptions!B17/100000</f>
        <v>3.96</v>
      </c>
      <c r="E14" s="21" t="n">
        <f aca="false">Assumptions!E21*Assumptions!B4*Assumptions!B17/100000</f>
        <v>9.9</v>
      </c>
      <c r="F14" s="21" t="n">
        <f aca="false">Assumptions!F21*Assumptions!B4*Assumptions!B17/100000</f>
        <v>17.82</v>
      </c>
      <c r="G14" s="2" t="s">
        <v>143</v>
      </c>
    </row>
    <row r="15" customFormat="false" ht="15" hidden="false" customHeight="false" outlineLevel="0" collapsed="false">
      <c r="A15" s="14" t="s">
        <v>144</v>
      </c>
      <c r="B15" s="22" t="n">
        <f aca="false">SUM(B6:B14)</f>
        <v>14.23</v>
      </c>
      <c r="C15" s="22" t="n">
        <f aca="false">SUM(C6:C14)</f>
        <v>48.485</v>
      </c>
      <c r="D15" s="22" t="n">
        <f aca="false">SUM(D6:D14)</f>
        <v>105.56</v>
      </c>
      <c r="E15" s="22" t="n">
        <f aca="false">SUM(E6:E14)</f>
        <v>187</v>
      </c>
      <c r="F15" s="22" t="n">
        <f aca="false">SUM(F6:F14)</f>
        <v>292.92</v>
      </c>
    </row>
    <row r="17" customFormat="false" ht="15" hidden="false" customHeight="false" outlineLevel="0" collapsed="false">
      <c r="A17" s="6" t="s">
        <v>145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4" t="s">
        <v>125</v>
      </c>
      <c r="B18" s="9" t="s">
        <v>66</v>
      </c>
      <c r="C18" s="9" t="s">
        <v>67</v>
      </c>
      <c r="D18" s="9" t="s">
        <v>68</v>
      </c>
      <c r="E18" s="9" t="s">
        <v>69</v>
      </c>
      <c r="F18" s="9" t="s">
        <v>70</v>
      </c>
    </row>
    <row r="19" customFormat="false" ht="15" hidden="false" customHeight="false" outlineLevel="0" collapsed="false">
      <c r="A19" s="5" t="s">
        <v>126</v>
      </c>
      <c r="B19" s="20" t="n">
        <v>2.4</v>
      </c>
      <c r="C19" s="20" t="n">
        <v>4.8</v>
      </c>
      <c r="D19" s="20" t="n">
        <v>8.4</v>
      </c>
      <c r="E19" s="20" t="n">
        <v>14.4</v>
      </c>
      <c r="F19" s="20" t="n">
        <v>24</v>
      </c>
    </row>
    <row r="20" customFormat="false" ht="15" hidden="false" customHeight="false" outlineLevel="0" collapsed="false">
      <c r="A20" s="5" t="s">
        <v>128</v>
      </c>
      <c r="B20" s="20" t="n">
        <v>1.3</v>
      </c>
      <c r="C20" s="20" t="n">
        <v>4</v>
      </c>
      <c r="D20" s="20" t="n">
        <v>8</v>
      </c>
      <c r="E20" s="20" t="n">
        <v>15</v>
      </c>
      <c r="F20" s="20" t="n">
        <v>25</v>
      </c>
    </row>
    <row r="21" customFormat="false" ht="15" hidden="false" customHeight="false" outlineLevel="0" collapsed="false">
      <c r="A21" s="5" t="s">
        <v>130</v>
      </c>
      <c r="B21" s="20" t="n">
        <v>1.2</v>
      </c>
      <c r="C21" s="20" t="n">
        <v>1.7</v>
      </c>
      <c r="D21" s="20" t="n">
        <v>2.8</v>
      </c>
      <c r="E21" s="20" t="n">
        <v>5.5</v>
      </c>
      <c r="F21" s="20" t="n">
        <v>9.1</v>
      </c>
    </row>
    <row r="22" customFormat="false" ht="15" hidden="false" customHeight="false" outlineLevel="0" collapsed="false">
      <c r="A22" s="5" t="s">
        <v>132</v>
      </c>
      <c r="B22" s="20" t="n">
        <v>4.8</v>
      </c>
      <c r="C22" s="20" t="n">
        <v>9.6</v>
      </c>
      <c r="D22" s="20" t="n">
        <v>14.4</v>
      </c>
      <c r="E22" s="20" t="n">
        <v>19.2</v>
      </c>
      <c r="F22" s="20" t="n">
        <v>24</v>
      </c>
      <c r="G22" s="2" t="s">
        <v>146</v>
      </c>
    </row>
    <row r="23" customFormat="false" ht="15" hidden="false" customHeight="false" outlineLevel="0" collapsed="false">
      <c r="A23" s="5" t="s">
        <v>134</v>
      </c>
      <c r="B23" s="20" t="n">
        <v>25</v>
      </c>
      <c r="C23" s="20" t="n">
        <v>36</v>
      </c>
      <c r="D23" s="20" t="n">
        <v>48</v>
      </c>
      <c r="E23" s="20" t="n">
        <v>60</v>
      </c>
      <c r="F23" s="20" t="n">
        <v>72</v>
      </c>
      <c r="G23" s="2" t="s">
        <v>147</v>
      </c>
    </row>
    <row r="24" customFormat="false" ht="15" hidden="false" customHeight="false" outlineLevel="0" collapsed="false">
      <c r="A24" s="5" t="s">
        <v>136</v>
      </c>
      <c r="B24" s="20" t="n">
        <v>3</v>
      </c>
      <c r="C24" s="20" t="n">
        <v>4.5</v>
      </c>
      <c r="D24" s="20" t="n">
        <v>6</v>
      </c>
      <c r="E24" s="20" t="n">
        <v>8</v>
      </c>
      <c r="F24" s="20" t="n">
        <v>10</v>
      </c>
    </row>
    <row r="25" customFormat="false" ht="15" hidden="false" customHeight="false" outlineLevel="0" collapsed="false">
      <c r="A25" s="5" t="s">
        <v>138</v>
      </c>
      <c r="B25" s="20" t="n">
        <v>30</v>
      </c>
      <c r="C25" s="20" t="n">
        <v>60</v>
      </c>
      <c r="D25" s="20" t="n">
        <v>100</v>
      </c>
      <c r="E25" s="20" t="n">
        <v>150</v>
      </c>
      <c r="F25" s="20" t="n">
        <v>220</v>
      </c>
      <c r="G25" s="2" t="s">
        <v>148</v>
      </c>
    </row>
    <row r="26" customFormat="false" ht="15" hidden="false" customHeight="false" outlineLevel="0" collapsed="false">
      <c r="A26" s="5" t="s">
        <v>140</v>
      </c>
      <c r="B26" s="20" t="n">
        <v>5</v>
      </c>
      <c r="C26" s="20" t="n">
        <v>5</v>
      </c>
      <c r="D26" s="20" t="n">
        <v>7.5</v>
      </c>
      <c r="E26" s="20" t="n">
        <v>10</v>
      </c>
      <c r="F26" s="20" t="n">
        <v>15</v>
      </c>
    </row>
    <row r="27" customFormat="false" ht="15" hidden="false" customHeight="false" outlineLevel="0" collapsed="false">
      <c r="A27" s="5" t="s">
        <v>142</v>
      </c>
      <c r="B27" s="21" t="n">
        <f aca="false">Assumptions!B21*Assumptions!B4*Assumptions!B17/100000</f>
        <v>0.33</v>
      </c>
      <c r="C27" s="21" t="n">
        <f aca="false">Assumptions!C21*Assumptions!B4*Assumptions!B17/100000</f>
        <v>1.485</v>
      </c>
      <c r="D27" s="21" t="n">
        <f aca="false">Assumptions!D21*Assumptions!B4*Assumptions!B17/100000</f>
        <v>3.96</v>
      </c>
      <c r="E27" s="21" t="n">
        <f aca="false">Assumptions!E21*Assumptions!B4*Assumptions!B17/100000</f>
        <v>9.9</v>
      </c>
      <c r="F27" s="21" t="n">
        <f aca="false">Assumptions!F21*Assumptions!B4*Assumptions!B17/100000</f>
        <v>17.82</v>
      </c>
    </row>
    <row r="28" customFormat="false" ht="15" hidden="false" customHeight="false" outlineLevel="0" collapsed="false">
      <c r="A28" s="14" t="s">
        <v>149</v>
      </c>
      <c r="B28" s="22" t="n">
        <f aca="false">SUM(B19:B27)</f>
        <v>73.03</v>
      </c>
      <c r="C28" s="22" t="n">
        <f aca="false">SUM(C19:C27)</f>
        <v>127.085</v>
      </c>
      <c r="D28" s="22" t="n">
        <f aca="false">SUM(D19:D27)</f>
        <v>199.06</v>
      </c>
      <c r="E28" s="22" t="n">
        <f aca="false">SUM(E19:E27)</f>
        <v>292</v>
      </c>
      <c r="F28" s="22" t="n">
        <f aca="false">SUM(F19:F27)</f>
        <v>416.92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6" t="s">
        <v>152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4" t="s">
        <v>153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</row>
    <row r="6" customFormat="false" ht="15" hidden="false" customHeight="false" outlineLevel="0" collapsed="false">
      <c r="A6" s="5" t="s">
        <v>154</v>
      </c>
      <c r="B6" s="23" t="n">
        <f aca="false">Assumptions!B21</f>
        <v>1000</v>
      </c>
      <c r="C6" s="23" t="n">
        <f aca="false">Assumptions!C21</f>
        <v>4500</v>
      </c>
      <c r="D6" s="23" t="n">
        <f aca="false">Assumptions!D21</f>
        <v>12000</v>
      </c>
      <c r="E6" s="23" t="n">
        <f aca="false">Assumptions!E21</f>
        <v>30000</v>
      </c>
      <c r="F6" s="23" t="n">
        <f aca="false">Assumptions!F21</f>
        <v>54000</v>
      </c>
    </row>
    <row r="7" customFormat="false" ht="15" hidden="false" customHeight="false" outlineLevel="0" collapsed="false">
      <c r="A7" s="5" t="s">
        <v>155</v>
      </c>
      <c r="B7" s="24" t="n">
        <f aca="false">B6*'Unit Economics'!C33/100000</f>
        <v>69.279</v>
      </c>
      <c r="C7" s="24" t="n">
        <f aca="false">C6*'Unit Economics'!C33/100000</f>
        <v>311.7555</v>
      </c>
      <c r="D7" s="24" t="n">
        <f aca="false">D6*'Unit Economics'!C33/100000</f>
        <v>831.348</v>
      </c>
      <c r="E7" s="24" t="n">
        <f aca="false">E6*'Unit Economics'!C33/100000</f>
        <v>2078.37</v>
      </c>
      <c r="F7" s="24" t="n">
        <f aca="false">F6*'Unit Economics'!C33/100000</f>
        <v>3741.066</v>
      </c>
    </row>
    <row r="8" customFormat="false" ht="15" hidden="false" customHeight="false" outlineLevel="0" collapsed="false">
      <c r="A8" s="5" t="s">
        <v>156</v>
      </c>
      <c r="B8" s="24" t="n">
        <f aca="false">B6*'Unit Economics'!C25/100000</f>
        <v>7.40884</v>
      </c>
      <c r="C8" s="24" t="n">
        <f aca="false">C6*'Unit Economics'!C25/100000</f>
        <v>33.33978</v>
      </c>
      <c r="D8" s="24" t="n">
        <f aca="false">D6*'Unit Economics'!C25/100000</f>
        <v>88.90608</v>
      </c>
      <c r="E8" s="24" t="n">
        <f aca="false">E6*'Unit Economics'!C25/100000</f>
        <v>222.2652</v>
      </c>
      <c r="F8" s="24" t="n">
        <f aca="false">F6*'Unit Economics'!C25/100000</f>
        <v>400.07736</v>
      </c>
    </row>
    <row r="9" customFormat="false" ht="15" hidden="false" customHeight="false" outlineLevel="0" collapsed="false">
      <c r="A9" s="5" t="s">
        <v>157</v>
      </c>
      <c r="B9" s="24" t="n">
        <f aca="false">B6*Assumptions!B14*Assumptions!B15/100000</f>
        <v>0.525</v>
      </c>
      <c r="C9" s="24" t="n">
        <f aca="false">C6*Assumptions!B14*Assumptions!B15/100000</f>
        <v>2.3625</v>
      </c>
      <c r="D9" s="24" t="n">
        <f aca="false">D6*Assumptions!B14*Assumptions!B15/100000</f>
        <v>6.3</v>
      </c>
      <c r="E9" s="24" t="n">
        <f aca="false">E6*Assumptions!B14*Assumptions!B15/100000</f>
        <v>15.75</v>
      </c>
      <c r="F9" s="24" t="n">
        <f aca="false">F6*Assumptions!B14*Assumptions!B15/100000</f>
        <v>28.35</v>
      </c>
    </row>
    <row r="10" customFormat="false" ht="15" hidden="false" customHeight="false" outlineLevel="0" collapsed="false">
      <c r="A10" s="14" t="s">
        <v>158</v>
      </c>
      <c r="B10" s="25" t="n">
        <f aca="false">B8+B9</f>
        <v>7.93384</v>
      </c>
      <c r="C10" s="25" t="n">
        <f aca="false">C8+C9</f>
        <v>35.70228</v>
      </c>
      <c r="D10" s="25" t="n">
        <f aca="false">D8+D9</f>
        <v>95.20608</v>
      </c>
      <c r="E10" s="25" t="n">
        <f aca="false">E8+E9</f>
        <v>238.0152</v>
      </c>
      <c r="F10" s="25" t="n">
        <f aca="false">F8+F9</f>
        <v>428.42736</v>
      </c>
    </row>
    <row r="11" customFormat="false" ht="15" hidden="false" customHeight="false" outlineLevel="0" collapsed="false">
      <c r="A11" s="5" t="s">
        <v>159</v>
      </c>
      <c r="B11" s="24" t="n">
        <f aca="false">-B10*Assumptions!B16</f>
        <v>-1.586768</v>
      </c>
      <c r="C11" s="24" t="n">
        <f aca="false">-C10*Assumptions!B16</f>
        <v>-7.140456</v>
      </c>
      <c r="D11" s="24" t="n">
        <f aca="false">-D10*Assumptions!B16</f>
        <v>-19.041216</v>
      </c>
      <c r="E11" s="24" t="n">
        <f aca="false">-E10*Assumptions!B16</f>
        <v>-47.60304</v>
      </c>
      <c r="F11" s="24" t="n">
        <f aca="false">-F10*Assumptions!B16</f>
        <v>-85.685472</v>
      </c>
    </row>
    <row r="12" customFormat="false" ht="15" hidden="false" customHeight="false" outlineLevel="0" collapsed="false">
      <c r="A12" s="14" t="s">
        <v>160</v>
      </c>
      <c r="B12" s="25" t="n">
        <f aca="false">B10+B11</f>
        <v>6.347072</v>
      </c>
      <c r="C12" s="25" t="n">
        <f aca="false">C10+C11</f>
        <v>28.561824</v>
      </c>
      <c r="D12" s="25" t="n">
        <f aca="false">D10+D11</f>
        <v>76.164864</v>
      </c>
      <c r="E12" s="25" t="n">
        <f aca="false">E10+E11</f>
        <v>190.41216</v>
      </c>
      <c r="F12" s="25" t="n">
        <f aca="false">F10+F11</f>
        <v>342.741888</v>
      </c>
    </row>
    <row r="13" customFormat="false" ht="15" hidden="false" customHeight="false" outlineLevel="0" collapsed="false">
      <c r="A13" s="5" t="s">
        <v>161</v>
      </c>
      <c r="B13" s="21" t="n">
        <f aca="false">-'Operating Costs'!B15</f>
        <v>-14.23</v>
      </c>
      <c r="C13" s="21" t="n">
        <f aca="false">-'Operating Costs'!C15</f>
        <v>-48.485</v>
      </c>
      <c r="D13" s="21" t="n">
        <f aca="false">-'Operating Costs'!D15</f>
        <v>-105.56</v>
      </c>
      <c r="E13" s="21" t="n">
        <f aca="false">-'Operating Costs'!E15</f>
        <v>-187</v>
      </c>
      <c r="F13" s="21" t="n">
        <f aca="false">-'Operating Costs'!F15</f>
        <v>-292.92</v>
      </c>
    </row>
    <row r="14" customFormat="false" ht="15" hidden="false" customHeight="false" outlineLevel="0" collapsed="false">
      <c r="A14" s="14" t="s">
        <v>162</v>
      </c>
      <c r="B14" s="22" t="n">
        <f aca="false">B12+B13</f>
        <v>-7.882928</v>
      </c>
      <c r="C14" s="22" t="n">
        <f aca="false">C12+C13</f>
        <v>-19.923176</v>
      </c>
      <c r="D14" s="22" t="n">
        <f aca="false">D12+D13</f>
        <v>-29.395136</v>
      </c>
      <c r="E14" s="22" t="n">
        <f aca="false">E12+E13</f>
        <v>3.41216</v>
      </c>
      <c r="F14" s="22" t="n">
        <f aca="false">F12+F13</f>
        <v>49.821888</v>
      </c>
    </row>
    <row r="15" customFormat="false" ht="15" hidden="false" customHeight="false" outlineLevel="0" collapsed="false">
      <c r="A15" s="5" t="s">
        <v>163</v>
      </c>
      <c r="B15" s="26" t="n">
        <f aca="false">B14/B7</f>
        <v>-0.113785245168088</v>
      </c>
      <c r="C15" s="26" t="n">
        <f aca="false">C14/C7</f>
        <v>-0.0639064138403332</v>
      </c>
      <c r="D15" s="26" t="n">
        <f aca="false">D14/D7</f>
        <v>-0.0353584010546727</v>
      </c>
      <c r="E15" s="26" t="n">
        <f aca="false">E14/E7</f>
        <v>0.00164174810067505</v>
      </c>
      <c r="F15" s="26" t="n">
        <f aca="false">F14/F7</f>
        <v>0.0133175645658216</v>
      </c>
    </row>
    <row r="16" customFormat="false" ht="15" hidden="false" customHeight="false" outlineLevel="0" collapsed="false">
      <c r="A16" s="14" t="s">
        <v>164</v>
      </c>
      <c r="B16" s="25" t="n">
        <f aca="false">B14</f>
        <v>-7.882928</v>
      </c>
      <c r="C16" s="25" t="n">
        <f aca="false">B16+C14</f>
        <v>-27.806104</v>
      </c>
      <c r="D16" s="25" t="n">
        <f aca="false">C16+D14</f>
        <v>-57.20124</v>
      </c>
      <c r="E16" s="25" t="n">
        <f aca="false">D16+E14</f>
        <v>-53.78908</v>
      </c>
      <c r="F16" s="25" t="n">
        <f aca="false">E16+F14</f>
        <v>-3.96719200000001</v>
      </c>
    </row>
    <row r="20" customFormat="false" ht="15" hidden="false" customHeight="false" outlineLevel="0" collapsed="false">
      <c r="A20" s="6" t="s">
        <v>165</v>
      </c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4" t="s">
        <v>153</v>
      </c>
      <c r="B21" s="9" t="s">
        <v>66</v>
      </c>
      <c r="C21" s="9" t="s">
        <v>67</v>
      </c>
      <c r="D21" s="9" t="s">
        <v>68</v>
      </c>
      <c r="E21" s="9" t="s">
        <v>69</v>
      </c>
      <c r="F21" s="9" t="s">
        <v>70</v>
      </c>
    </row>
    <row r="22" customFormat="false" ht="15" hidden="false" customHeight="false" outlineLevel="0" collapsed="false">
      <c r="A22" s="5" t="s">
        <v>154</v>
      </c>
      <c r="B22" s="23" t="n">
        <f aca="false">Assumptions!B21</f>
        <v>1000</v>
      </c>
      <c r="C22" s="23" t="n">
        <f aca="false">Assumptions!C21</f>
        <v>4500</v>
      </c>
      <c r="D22" s="23" t="n">
        <f aca="false">Assumptions!D21</f>
        <v>12000</v>
      </c>
      <c r="E22" s="23" t="n">
        <f aca="false">Assumptions!E21</f>
        <v>30000</v>
      </c>
      <c r="F22" s="23" t="n">
        <f aca="false">Assumptions!F21</f>
        <v>54000</v>
      </c>
    </row>
    <row r="23" customFormat="false" ht="15" hidden="false" customHeight="false" outlineLevel="0" collapsed="false">
      <c r="A23" s="5" t="s">
        <v>155</v>
      </c>
      <c r="B23" s="24" t="n">
        <f aca="false">B22*'Unit Economics'!C33/100000</f>
        <v>69.279</v>
      </c>
      <c r="C23" s="24" t="n">
        <f aca="false">C22*'Unit Economics'!C33/100000</f>
        <v>311.7555</v>
      </c>
      <c r="D23" s="24" t="n">
        <f aca="false">D22*'Unit Economics'!C33/100000</f>
        <v>831.348</v>
      </c>
      <c r="E23" s="24" t="n">
        <f aca="false">E22*'Unit Economics'!C33/100000</f>
        <v>2078.37</v>
      </c>
      <c r="F23" s="24" t="n">
        <f aca="false">F22*'Unit Economics'!C33/100000</f>
        <v>3741.066</v>
      </c>
    </row>
    <row r="24" customFormat="false" ht="15" hidden="false" customHeight="false" outlineLevel="0" collapsed="false">
      <c r="A24" s="5" t="s">
        <v>156</v>
      </c>
      <c r="B24" s="24" t="n">
        <f aca="false">B22*'Unit Economics'!C25/100000</f>
        <v>7.40884</v>
      </c>
      <c r="C24" s="24" t="n">
        <f aca="false">C22*'Unit Economics'!C25/100000</f>
        <v>33.33978</v>
      </c>
      <c r="D24" s="24" t="n">
        <f aca="false">D22*'Unit Economics'!C25/100000</f>
        <v>88.90608</v>
      </c>
      <c r="E24" s="24" t="n">
        <f aca="false">E22*'Unit Economics'!C25/100000</f>
        <v>222.2652</v>
      </c>
      <c r="F24" s="24" t="n">
        <f aca="false">F22*'Unit Economics'!C25/100000</f>
        <v>400.07736</v>
      </c>
    </row>
    <row r="25" customFormat="false" ht="15" hidden="false" customHeight="false" outlineLevel="0" collapsed="false">
      <c r="A25" s="5" t="s">
        <v>157</v>
      </c>
      <c r="B25" s="24" t="n">
        <f aca="false">B22*Assumptions!B14*Assumptions!B15/100000</f>
        <v>0.525</v>
      </c>
      <c r="C25" s="24" t="n">
        <f aca="false">C22*Assumptions!B14*Assumptions!B15/100000</f>
        <v>2.3625</v>
      </c>
      <c r="D25" s="24" t="n">
        <f aca="false">D22*Assumptions!B14*Assumptions!B15/100000</f>
        <v>6.3</v>
      </c>
      <c r="E25" s="24" t="n">
        <f aca="false">E22*Assumptions!B14*Assumptions!B15/100000</f>
        <v>15.75</v>
      </c>
      <c r="F25" s="24" t="n">
        <f aca="false">F22*Assumptions!B14*Assumptions!B15/100000</f>
        <v>28.35</v>
      </c>
    </row>
    <row r="26" customFormat="false" ht="15" hidden="false" customHeight="false" outlineLevel="0" collapsed="false">
      <c r="A26" s="14" t="s">
        <v>158</v>
      </c>
      <c r="B26" s="25" t="n">
        <f aca="false">B24+B25</f>
        <v>7.93384</v>
      </c>
      <c r="C26" s="25" t="n">
        <f aca="false">C24+C25</f>
        <v>35.70228</v>
      </c>
      <c r="D26" s="25" t="n">
        <f aca="false">D24+D25</f>
        <v>95.20608</v>
      </c>
      <c r="E26" s="25" t="n">
        <f aca="false">E24+E25</f>
        <v>238.0152</v>
      </c>
      <c r="F26" s="25" t="n">
        <f aca="false">F24+F25</f>
        <v>428.42736</v>
      </c>
    </row>
    <row r="27" customFormat="false" ht="15" hidden="false" customHeight="false" outlineLevel="0" collapsed="false">
      <c r="A27" s="5" t="s">
        <v>159</v>
      </c>
      <c r="B27" s="24" t="n">
        <f aca="false">-B26*Assumptions!B16</f>
        <v>-1.586768</v>
      </c>
      <c r="C27" s="24" t="n">
        <f aca="false">-C26*Assumptions!B16</f>
        <v>-7.140456</v>
      </c>
      <c r="D27" s="24" t="n">
        <f aca="false">-D26*Assumptions!B16</f>
        <v>-19.041216</v>
      </c>
      <c r="E27" s="24" t="n">
        <f aca="false">-E26*Assumptions!B16</f>
        <v>-47.60304</v>
      </c>
      <c r="F27" s="24" t="n">
        <f aca="false">-F26*Assumptions!B16</f>
        <v>-85.685472</v>
      </c>
    </row>
    <row r="28" customFormat="false" ht="15" hidden="false" customHeight="false" outlineLevel="0" collapsed="false">
      <c r="A28" s="14" t="s">
        <v>160</v>
      </c>
      <c r="B28" s="25" t="n">
        <f aca="false">B26+B27</f>
        <v>6.347072</v>
      </c>
      <c r="C28" s="25" t="n">
        <f aca="false">C26+C27</f>
        <v>28.561824</v>
      </c>
      <c r="D28" s="25" t="n">
        <f aca="false">D26+D27</f>
        <v>76.164864</v>
      </c>
      <c r="E28" s="25" t="n">
        <f aca="false">E26+E27</f>
        <v>190.41216</v>
      </c>
      <c r="F28" s="25" t="n">
        <f aca="false">F26+F27</f>
        <v>342.741888</v>
      </c>
    </row>
    <row r="29" customFormat="false" ht="15" hidden="false" customHeight="false" outlineLevel="0" collapsed="false">
      <c r="A29" s="5" t="s">
        <v>161</v>
      </c>
      <c r="B29" s="21" t="n">
        <f aca="false">-'Operating Costs'!B28</f>
        <v>-73.03</v>
      </c>
      <c r="C29" s="21" t="n">
        <f aca="false">-'Operating Costs'!C28</f>
        <v>-127.085</v>
      </c>
      <c r="D29" s="21" t="n">
        <f aca="false">-'Operating Costs'!D28</f>
        <v>-199.06</v>
      </c>
      <c r="E29" s="21" t="n">
        <f aca="false">-'Operating Costs'!E28</f>
        <v>-292</v>
      </c>
      <c r="F29" s="21" t="n">
        <f aca="false">-'Operating Costs'!F28</f>
        <v>-416.92</v>
      </c>
    </row>
    <row r="30" customFormat="false" ht="15" hidden="false" customHeight="false" outlineLevel="0" collapsed="false">
      <c r="A30" s="14" t="s">
        <v>162</v>
      </c>
      <c r="B30" s="22" t="n">
        <f aca="false">B28+B29</f>
        <v>-66.682928</v>
      </c>
      <c r="C30" s="22" t="n">
        <f aca="false">C28+C29</f>
        <v>-98.523176</v>
      </c>
      <c r="D30" s="22" t="n">
        <f aca="false">D28+D29</f>
        <v>-122.895136</v>
      </c>
      <c r="E30" s="22" t="n">
        <f aca="false">E28+E29</f>
        <v>-101.58784</v>
      </c>
      <c r="F30" s="22" t="n">
        <f aca="false">F28+F29</f>
        <v>-74.178112</v>
      </c>
    </row>
    <row r="31" customFormat="false" ht="15" hidden="false" customHeight="false" outlineLevel="0" collapsed="false">
      <c r="A31" s="5" t="s">
        <v>163</v>
      </c>
      <c r="B31" s="26" t="n">
        <f aca="false">B30/B23</f>
        <v>-0.962527288211435</v>
      </c>
      <c r="C31" s="26" t="n">
        <f aca="false">C30/C23</f>
        <v>-0.316027066082234</v>
      </c>
      <c r="D31" s="26" t="n">
        <f aca="false">D30/D23</f>
        <v>-0.147826344683574</v>
      </c>
      <c r="E31" s="26" t="n">
        <f aca="false">E30/E23</f>
        <v>-0.0488786116042861</v>
      </c>
      <c r="F31" s="26" t="n">
        <f aca="false">F30/F23</f>
        <v>-0.0198280682564809</v>
      </c>
    </row>
    <row r="32" customFormat="false" ht="15" hidden="false" customHeight="false" outlineLevel="0" collapsed="false">
      <c r="A32" s="14" t="s">
        <v>164</v>
      </c>
      <c r="B32" s="25" t="n">
        <f aca="false">B30</f>
        <v>-66.682928</v>
      </c>
      <c r="C32" s="25" t="n">
        <f aca="false">B32+C30</f>
        <v>-165.206104</v>
      </c>
      <c r="D32" s="25" t="n">
        <f aca="false">C32+D30</f>
        <v>-288.10124</v>
      </c>
      <c r="E32" s="25" t="n">
        <f aca="false">D32+E30</f>
        <v>-389.68908</v>
      </c>
      <c r="F32" s="25" t="n">
        <f aca="false">E32+F30</f>
        <v>-463.867192</v>
      </c>
    </row>
    <row r="36" customFormat="false" ht="15" hidden="false" customHeight="false" outlineLevel="0" collapsed="false">
      <c r="A36" s="2" t="s">
        <v>166</v>
      </c>
    </row>
    <row r="37" customFormat="false" ht="15" hidden="false" customHeight="false" outlineLevel="0" collapsed="false">
      <c r="A37" s="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6" t="s">
        <v>170</v>
      </c>
      <c r="B4" s="6"/>
      <c r="C4" s="6"/>
      <c r="D4" s="6"/>
      <c r="E4" s="6"/>
    </row>
    <row r="5" customFormat="false" ht="15" hidden="false" customHeight="false" outlineLevel="0" collapsed="false">
      <c r="A5" s="4" t="s">
        <v>171</v>
      </c>
      <c r="B5" s="9" t="s">
        <v>72</v>
      </c>
      <c r="C5" s="9" t="s">
        <v>172</v>
      </c>
      <c r="D5" s="9" t="s">
        <v>73</v>
      </c>
      <c r="E5" s="4" t="s">
        <v>78</v>
      </c>
    </row>
    <row r="6" customFormat="false" ht="15" hidden="false" customHeight="false" outlineLevel="0" collapsed="false">
      <c r="A6" s="5" t="s">
        <v>173</v>
      </c>
      <c r="B6" s="23" t="n">
        <f aca="false">Assumptions!F22</f>
        <v>10800</v>
      </c>
      <c r="C6" s="23" t="n">
        <f aca="false">Assumptions!F21</f>
        <v>54000</v>
      </c>
      <c r="D6" s="23" t="n">
        <f aca="false">Assumptions!F23</f>
        <v>108000</v>
      </c>
      <c r="E6" s="2" t="s">
        <v>174</v>
      </c>
    </row>
    <row r="7" customFormat="false" ht="15" hidden="false" customHeight="false" outlineLevel="0" collapsed="false">
      <c r="A7" s="5" t="s">
        <v>175</v>
      </c>
      <c r="B7" s="24" t="n">
        <f aca="false">B6*'Unit Economics'!C33/100000</f>
        <v>748.2132</v>
      </c>
      <c r="C7" s="24" t="n">
        <f aca="false">C6*'Unit Economics'!C33/100000</f>
        <v>3741.066</v>
      </c>
      <c r="D7" s="24" t="n">
        <f aca="false">D6*'Unit Economics'!C33/100000</f>
        <v>7482.132</v>
      </c>
      <c r="E7" s="2" t="s">
        <v>176</v>
      </c>
    </row>
    <row r="8" customFormat="false" ht="15" hidden="false" customHeight="false" outlineLevel="0" collapsed="false">
      <c r="A8" s="5" t="s">
        <v>177</v>
      </c>
      <c r="B8" s="24" t="n">
        <f aca="false">B6*('Unit Economics'!C25 + Assumptions!B14*Assumptions!B15)/100000</f>
        <v>85.685472</v>
      </c>
      <c r="C8" s="24" t="n">
        <f aca="false">C6*('Unit Economics'!C25 + Assumptions!B14*Assumptions!B15)/100000</f>
        <v>428.42736</v>
      </c>
      <c r="D8" s="24" t="n">
        <f aca="false">D6*('Unit Economics'!C25 + Assumptions!B14*Assumptions!B15)/100000</f>
        <v>856.85472</v>
      </c>
      <c r="E8" s="2" t="s">
        <v>178</v>
      </c>
    </row>
    <row r="9" customFormat="false" ht="15" hidden="false" customHeight="false" outlineLevel="0" collapsed="false">
      <c r="A9" s="5" t="s">
        <v>179</v>
      </c>
      <c r="B9" s="24" t="n">
        <f aca="false">B8*(1-Assumptions!B16)</f>
        <v>68.5483776</v>
      </c>
      <c r="C9" s="24" t="n">
        <f aca="false">C8*(1-Assumptions!B16)</f>
        <v>342.741888</v>
      </c>
      <c r="D9" s="24" t="n">
        <f aca="false">D8*(1-Assumptions!B16)</f>
        <v>685.483776</v>
      </c>
    </row>
    <row r="10" customFormat="false" ht="15" hidden="false" customHeight="false" outlineLevel="0" collapsed="false">
      <c r="A10" s="5" t="s">
        <v>180</v>
      </c>
      <c r="B10" s="21" t="n">
        <f aca="false">'Operating Costs'!F15</f>
        <v>292.92</v>
      </c>
      <c r="C10" s="21" t="n">
        <f aca="false">'Operating Costs'!F15</f>
        <v>292.92</v>
      </c>
      <c r="D10" s="21" t="n">
        <f aca="false">'Operating Costs'!F15</f>
        <v>292.92</v>
      </c>
      <c r="E10" s="2" t="s">
        <v>181</v>
      </c>
    </row>
    <row r="11" customFormat="false" ht="15" hidden="false" customHeight="false" outlineLevel="0" collapsed="false">
      <c r="A11" s="14" t="s">
        <v>182</v>
      </c>
      <c r="B11" s="22" t="n">
        <f aca="false">B9-B10</f>
        <v>-224.3716224</v>
      </c>
      <c r="C11" s="22" t="n">
        <f aca="false">C9-C10</f>
        <v>49.821888</v>
      </c>
      <c r="D11" s="22" t="n">
        <f aca="false">D9-D10</f>
        <v>392.563776</v>
      </c>
    </row>
    <row r="12" customFormat="false" ht="15" hidden="false" customHeight="false" outlineLevel="0" collapsed="false">
      <c r="A12" s="5" t="s">
        <v>183</v>
      </c>
      <c r="B12" s="26" t="n">
        <f aca="false">B11/B7</f>
        <v>-0.299876589186077</v>
      </c>
      <c r="C12" s="26" t="n">
        <f aca="false">C11/C7</f>
        <v>0.0133175645658216</v>
      </c>
      <c r="D12" s="26" t="n">
        <f aca="false">D11/D7</f>
        <v>0.0524668337848089</v>
      </c>
    </row>
    <row r="14" customFormat="false" ht="15" hidden="false" customHeight="false" outlineLevel="0" collapsed="false">
      <c r="A14" s="6" t="s">
        <v>184</v>
      </c>
      <c r="B14" s="6"/>
      <c r="C14" s="6"/>
      <c r="D14" s="6"/>
      <c r="E14" s="6"/>
    </row>
    <row r="15" customFormat="false" ht="15" hidden="false" customHeight="false" outlineLevel="0" collapsed="false">
      <c r="A15" s="2" t="s">
        <v>185</v>
      </c>
    </row>
    <row r="16" customFormat="false" ht="15" hidden="false" customHeight="false" outlineLevel="0" collapsed="false">
      <c r="A16" s="2" t="s">
        <v>186</v>
      </c>
    </row>
    <row r="17" customFormat="false" ht="15" hidden="false" customHeight="false" outlineLevel="0" collapsed="false">
      <c r="A17" s="2" t="s">
        <v>187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2" t="s">
        <v>188</v>
      </c>
    </row>
    <row r="20" customFormat="false" ht="15" hidden="false" customHeight="false" outlineLevel="0" collapsed="false">
      <c r="A20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2026-05-14T16:50:55Z</dcterms:created>
  <dc:creator>openpyxl</dc:creator>
  <dc:description/>
  <dc:language>en-US</dc:language>
  <cp:lastModifiedBy/>
  <dcterms:modified xsi:type="dcterms:W3CDTF">2026-05-14T16:50:55Z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